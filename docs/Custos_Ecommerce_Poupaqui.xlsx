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ustos" sheetId="2" state="visible" r:id="rId2"/>
    <sheet xmlns:r="http://schemas.openxmlformats.org/officeDocument/2006/relationships" name="Estimativa IA" sheetId="3" state="visible" r:id="rId3"/>
  </sheets>
  <definedNames>
    <definedName name="_xlnm._FilterDatabase" localSheetId="0" hidden="1">'Resumo'!$A$18:$E$21</definedName>
    <definedName name="_xlnm._FilterDatabase" localSheetId="1" hidden="1">'Custos'!$A$4:$I$22</definedName>
    <definedName name="_xlnm._FilterDatabase" localSheetId="2" hidden="1">'Estimativa IA'!$A$4:$H$11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US$ #,##0.00"/>
    <numFmt numFmtId="165" formatCode="R$ #,##0.00"/>
    <numFmt numFmtId="166" formatCode="R$ 0.000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555555"/>
      <sz val="10"/>
    </font>
    <font>
      <name val="Aptos"/>
      <b val="1"/>
      <color rgb="00FFFFFF"/>
    </font>
    <font>
      <name val="Aptos"/>
      <sz val="10"/>
    </font>
    <font>
      <b val="1"/>
      <color rgb="00C8102E"/>
      <sz val="14"/>
    </font>
    <font>
      <b val="1"/>
      <color rgb="00171923"/>
    </font>
    <font>
      <b val="1"/>
    </font>
  </fonts>
  <fills count="8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4CF"/>
      </patternFill>
    </fill>
    <fill>
      <patternFill patternType="solid">
        <fgColor rgb="00171923"/>
      </patternFill>
    </fill>
    <fill>
      <patternFill patternType="solid">
        <fgColor rgb="00FFFFFF"/>
      </patternFill>
    </fill>
    <fill>
      <patternFill patternType="solid">
        <fgColor rgb="00F7F7F9"/>
      </patternFill>
    </fill>
    <fill>
      <patternFill patternType="solid">
        <fgColor rgb="00F5C842"/>
      </patternFill>
    </fill>
  </fills>
  <borders count="2">
    <border>
      <left/>
      <right/>
      <top/>
      <bottom/>
      <diagonal/>
    </border>
    <border>
      <bottom style="thin">
        <color rgb="00D9D9D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6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7" borderId="0" pivotButton="0" quotePrefix="0" xfId="0"/>
    <xf numFmtId="164" fontId="6" fillId="7" borderId="0" pivotButton="0" quotePrefix="0" xfId="0"/>
    <xf numFmtId="165" fontId="6" fillId="7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4" customWidth="1" min="6" max="6"/>
  </cols>
  <sheetData>
    <row r="1" ht="34" customHeight="1">
      <c r="A1" s="1" t="inlineStr">
        <is>
          <t>Resumo financeiro</t>
        </is>
      </c>
    </row>
    <row r="2" ht="28" customHeight="1">
      <c r="A2" s="2" t="inlineStr">
        <is>
          <t>Cenário profissional enxuto e cenários de crescimento.</t>
        </is>
      </c>
    </row>
    <row r="4">
      <c r="A4" t="inlineStr">
        <is>
          <t>Premissa</t>
        </is>
      </c>
      <c r="B4" t="inlineStr">
        <is>
          <t>Valor</t>
        </is>
      </c>
    </row>
    <row r="5">
      <c r="A5" t="inlineStr">
        <is>
          <t>Câmbio de referência</t>
        </is>
      </c>
      <c r="B5" s="3" t="n">
        <v>5.0638</v>
      </c>
    </row>
    <row r="6">
      <c r="A6" t="inlineStr">
        <is>
          <t>Data-base</t>
        </is>
      </c>
      <c r="B6" t="inlineStr">
        <is>
          <t>24/07/2026</t>
        </is>
      </c>
    </row>
    <row r="8">
      <c r="A8" s="4" t="inlineStr">
        <is>
          <t>Operação profissional enxuta</t>
        </is>
      </c>
    </row>
    <row r="9">
      <c r="A9" t="inlineStr">
        <is>
          <t>Item</t>
        </is>
      </c>
      <c r="B9" t="inlineStr">
        <is>
          <t>US$/mês</t>
        </is>
      </c>
      <c r="C9" t="inlineStr">
        <is>
          <t>R$/mês</t>
        </is>
      </c>
    </row>
    <row r="10">
      <c r="A10" t="inlineStr">
        <is>
          <t>Vercel Pro</t>
        </is>
      </c>
      <c r="B10" s="5" t="n">
        <v>20</v>
      </c>
      <c r="C10" s="6">
        <f>B10*$B$5</f>
        <v/>
      </c>
    </row>
    <row r="11">
      <c r="A11" t="inlineStr">
        <is>
          <t>Supabase Pro</t>
        </is>
      </c>
      <c r="B11" s="5" t="n">
        <v>25</v>
      </c>
      <c r="C11" s="6">
        <f>B11*$B$5</f>
        <v/>
      </c>
    </row>
    <row r="12">
      <c r="A12" t="inlineStr">
        <is>
          <t>WasenderAPI Basic</t>
        </is>
      </c>
      <c r="B12" s="5" t="n">
        <v>6</v>
      </c>
      <c r="C12" s="6">
        <f>B12*$B$5</f>
        <v/>
      </c>
    </row>
    <row r="13">
      <c r="A13" t="inlineStr">
        <is>
          <t>Reserva inicial de IA</t>
        </is>
      </c>
      <c r="B13" s="5" t="n">
        <v>10</v>
      </c>
      <c r="C13" s="6">
        <f>B13*$B$5</f>
        <v/>
      </c>
    </row>
    <row r="14">
      <c r="A14" t="inlineStr">
        <is>
          <t>Serper amortizado em 6 meses</t>
        </is>
      </c>
      <c r="B14" s="5" t="n">
        <v>8.33</v>
      </c>
      <c r="C14" s="6">
        <f>B14*$B$5</f>
        <v/>
      </c>
    </row>
    <row r="15">
      <c r="A15" s="7" t="inlineStr">
        <is>
          <t>Subtotal</t>
        </is>
      </c>
      <c r="B15" s="8">
        <f>SUM(B10:B14)</f>
        <v/>
      </c>
      <c r="C15" s="9">
        <f>SUM(C10:C14)</f>
        <v/>
      </c>
      <c r="D15" s="7" t="n"/>
      <c r="E15" s="7" t="n"/>
      <c r="F15" s="7" t="n"/>
    </row>
    <row r="18">
      <c r="A18" s="10" t="inlineStr">
        <is>
          <t>Cenário de IA</t>
        </is>
      </c>
      <c r="B18" s="10" t="inlineStr">
        <is>
          <t>Mínimo (US$)</t>
        </is>
      </c>
      <c r="C18" s="10" t="inlineStr">
        <is>
          <t>Máximo (US$)</t>
        </is>
      </c>
      <c r="D18" s="10" t="inlineStr">
        <is>
          <t>Mínimo (R$)</t>
        </is>
      </c>
      <c r="E18" s="10" t="inlineStr">
        <is>
          <t>Máximo (R$)</t>
        </is>
      </c>
    </row>
    <row r="19">
      <c r="A19" s="11" t="inlineStr">
        <is>
          <t>Piloto</t>
        </is>
      </c>
      <c r="B19" s="12" t="n">
        <v>7</v>
      </c>
      <c r="C19" s="12" t="n">
        <v>12</v>
      </c>
      <c r="D19" s="13">
        <f>B19*$B$5</f>
        <v/>
      </c>
      <c r="E19" s="13">
        <f>C19*$B$5</f>
        <v/>
      </c>
    </row>
    <row r="20">
      <c r="A20" s="14" t="inlineStr">
        <is>
          <t>Crescimento</t>
        </is>
      </c>
      <c r="B20" s="15" t="n">
        <v>32</v>
      </c>
      <c r="C20" s="15" t="n">
        <v>48</v>
      </c>
      <c r="D20" s="16">
        <f>B20*$B$5</f>
        <v/>
      </c>
      <c r="E20" s="16">
        <f>C20*$B$5</f>
        <v/>
      </c>
    </row>
    <row r="21">
      <c r="A21" s="11" t="inlineStr">
        <is>
          <t>Escala</t>
        </is>
      </c>
      <c r="B21" s="12" t="n">
        <v>130</v>
      </c>
      <c r="C21" s="12" t="n">
        <v>180</v>
      </c>
      <c r="D21" s="13">
        <f>B21*$B$5</f>
        <v/>
      </c>
      <c r="E21" s="13">
        <f>C21*$B$5</f>
        <v/>
      </c>
    </row>
  </sheetData>
  <autoFilter ref="A18:E2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7" customWidth="1" min="3" max="3"/>
    <col width="21" customWidth="1" min="4" max="4"/>
    <col width="17" customWidth="1" min="5" max="5"/>
    <col width="17" customWidth="1" min="6" max="6"/>
    <col width="19" customWidth="1" min="7" max="7"/>
    <col width="24" customWidth="1" min="8" max="8"/>
    <col width="62" customWidth="1" min="9" max="9"/>
  </cols>
  <sheetData>
    <row r="1" ht="34" customHeight="1">
      <c r="A1" s="1" t="inlineStr">
        <is>
          <t>Custos do Poupaqui Ecommerce</t>
        </is>
      </c>
    </row>
    <row r="2" ht="28" customHeight="1">
      <c r="A2" s="2" t="inlineStr">
        <is>
          <t>Valores de referência em 24/07/2026. Confirme os planos e faturas antes de decidir.</t>
        </is>
      </c>
    </row>
    <row r="4">
      <c r="A4" s="10" t="inlineStr">
        <is>
          <t>Categoria</t>
        </is>
      </c>
      <c r="B4" s="10" t="inlineStr">
        <is>
          <t>Fornecedor</t>
        </is>
      </c>
      <c r="C4" s="10" t="inlineStr">
        <is>
          <t>Item</t>
        </is>
      </c>
      <c r="D4" s="10" t="inlineStr">
        <is>
          <t>Cobrança</t>
        </is>
      </c>
      <c r="E4" s="10" t="inlineStr">
        <is>
          <t>Referência (US$)</t>
        </is>
      </c>
      <c r="F4" s="10" t="inlineStr">
        <is>
          <t>Referência (R$)</t>
        </is>
      </c>
      <c r="G4" s="10" t="inlineStr">
        <is>
          <t>Obrigatório</t>
        </is>
      </c>
      <c r="H4" s="10" t="inlineStr">
        <is>
          <t>Responsável sugerido</t>
        </is>
      </c>
      <c r="I4" s="10" t="inlineStr">
        <is>
          <t>Observação</t>
        </is>
      </c>
    </row>
    <row r="5">
      <c r="A5" s="11" t="inlineStr">
        <is>
          <t>Infraestrutura</t>
        </is>
      </c>
      <c r="B5" s="11" t="inlineStr">
        <is>
          <t>Vercel</t>
        </is>
      </c>
      <c r="C5" s="11" t="inlineStr">
        <is>
          <t>Plano Pro</t>
        </is>
      </c>
      <c r="D5" s="11" t="inlineStr">
        <is>
          <t>Mensal</t>
        </is>
      </c>
      <c r="E5" s="12" t="n">
        <v>20</v>
      </c>
      <c r="F5" s="13" t="n">
        <v>101.28</v>
      </c>
      <c r="G5" s="11" t="inlineStr">
        <is>
          <t>Sim</t>
        </is>
      </c>
      <c r="H5" s="11" t="inlineStr">
        <is>
          <t>Licence Farma</t>
        </is>
      </c>
      <c r="I5" s="11" t="inlineStr">
        <is>
          <t>Inclui crédito de uso; excedentes variáveis</t>
        </is>
      </c>
    </row>
    <row r="6">
      <c r="A6" s="14" t="inlineStr">
        <is>
          <t>Dados</t>
        </is>
      </c>
      <c r="B6" s="14" t="inlineStr">
        <is>
          <t>Supabase</t>
        </is>
      </c>
      <c r="C6" s="14" t="inlineStr">
        <is>
          <t>Plano Pro recomendado</t>
        </is>
      </c>
      <c r="D6" s="14" t="inlineStr">
        <is>
          <t>Mensal</t>
        </is>
      </c>
      <c r="E6" s="15" t="n">
        <v>25</v>
      </c>
      <c r="F6" s="16" t="n">
        <v>126.6</v>
      </c>
      <c r="G6" s="14" t="inlineStr">
        <is>
          <t>Sim para produção</t>
        </is>
      </c>
      <c r="H6" s="14" t="inlineStr">
        <is>
          <t>Licence Farma</t>
        </is>
      </c>
      <c r="I6" s="14" t="inlineStr">
        <is>
          <t>Confirmar o plano atualmente contratado</t>
        </is>
      </c>
    </row>
    <row r="7">
      <c r="A7" s="11" t="inlineStr">
        <is>
          <t>Mensageria</t>
        </is>
      </c>
      <c r="B7" s="11" t="inlineStr">
        <is>
          <t>WasenderAPI</t>
        </is>
      </c>
      <c r="C7" s="11" t="inlineStr">
        <is>
          <t>Basic — 1 sessão</t>
        </is>
      </c>
      <c r="D7" s="11" t="inlineStr">
        <is>
          <t>Mensal</t>
        </is>
      </c>
      <c r="E7" s="12" t="n">
        <v>6</v>
      </c>
      <c r="F7" s="13" t="n">
        <v>30.38</v>
      </c>
      <c r="G7" s="11" t="inlineStr">
        <is>
          <t>Condicional</t>
        </is>
      </c>
      <c r="H7" s="11" t="inlineStr">
        <is>
          <t>Licence Farma</t>
        </is>
      </c>
      <c r="I7" s="11" t="inlineStr">
        <is>
          <t>Confirmar o número de sessões necessárias</t>
        </is>
      </c>
    </row>
    <row r="8">
      <c r="A8" s="14" t="inlineStr">
        <is>
          <t>Inteligência artificial</t>
        </is>
      </c>
      <c r="B8" s="14" t="inlineStr">
        <is>
          <t>Anthropic</t>
        </is>
      </c>
      <c r="C8" s="14" t="inlineStr">
        <is>
          <t>Reserva inicial</t>
        </is>
      </c>
      <c r="D8" s="14" t="inlineStr">
        <is>
          <t>Mensal variável</t>
        </is>
      </c>
      <c r="E8" s="15" t="n">
        <v>10</v>
      </c>
      <c r="F8" s="16" t="n">
        <v>50.64</v>
      </c>
      <c r="G8" s="14" t="inlineStr">
        <is>
          <t>Condicional</t>
        </is>
      </c>
      <c r="H8" s="14" t="inlineStr">
        <is>
          <t>Licence Farma</t>
        </is>
      </c>
      <c r="I8" s="14" t="inlineStr">
        <is>
          <t>Medir tokens por recurso</t>
        </is>
      </c>
    </row>
    <row r="9">
      <c r="A9" s="11" t="inlineStr">
        <is>
          <t>Pesquisa</t>
        </is>
      </c>
      <c r="B9" s="11" t="inlineStr">
        <is>
          <t>Serper</t>
        </is>
      </c>
      <c r="C9" s="11" t="inlineStr">
        <is>
          <t>50 mil créditos / 6 meses</t>
        </is>
      </c>
      <c r="D9" s="11" t="inlineStr">
        <is>
          <t>Compra avulsa</t>
        </is>
      </c>
      <c r="E9" s="12" t="n">
        <v>50</v>
      </c>
      <c r="F9" s="13" t="n">
        <v>253.19</v>
      </c>
      <c r="G9" s="11" t="inlineStr">
        <is>
          <t>Condicional</t>
        </is>
      </c>
      <c r="H9" s="11" t="inlineStr">
        <is>
          <t>Licence Farma</t>
        </is>
      </c>
      <c r="I9" s="11" t="inlineStr">
        <is>
          <t>Equivale a cerca de US$ 8,33/mês se distribuído em seis meses</t>
        </is>
      </c>
    </row>
    <row r="10">
      <c r="A10" s="14" t="inlineStr">
        <is>
          <t>Imagens</t>
        </is>
      </c>
      <c r="B10" s="14" t="inlineStr">
        <is>
          <t>Cloudinary</t>
        </is>
      </c>
      <c r="C10" s="14" t="inlineStr">
        <is>
          <t>Free</t>
        </is>
      </c>
      <c r="D10" s="14" t="inlineStr">
        <is>
          <t>Franquia</t>
        </is>
      </c>
      <c r="E10" s="15" t="n">
        <v>0</v>
      </c>
      <c r="F10" s="16" t="n">
        <v>0</v>
      </c>
      <c r="G10" s="14" t="inlineStr">
        <is>
          <t>Condicional</t>
        </is>
      </c>
      <c r="H10" s="14" t="inlineStr">
        <is>
          <t>Licence Farma</t>
        </is>
      </c>
      <c r="I10" s="14" t="inlineStr">
        <is>
          <t>25 créditos mensais</t>
        </is>
      </c>
    </row>
    <row r="11">
      <c r="A11" s="11" t="inlineStr">
        <is>
          <t>Imagens</t>
        </is>
      </c>
      <c r="B11" s="11" t="inlineStr">
        <is>
          <t>Cloudinary</t>
        </is>
      </c>
      <c r="C11" s="11" t="inlineStr">
        <is>
          <t>Plus</t>
        </is>
      </c>
      <c r="D11" s="11" t="inlineStr">
        <is>
          <t>Mensal</t>
        </is>
      </c>
      <c r="E11" s="12" t="n">
        <v>99</v>
      </c>
      <c r="F11" s="13" t="n">
        <v>501.32</v>
      </c>
      <c r="G11" s="11" t="inlineStr">
        <is>
          <t>Opcional</t>
        </is>
      </c>
      <c r="H11" s="11" t="inlineStr">
        <is>
          <t>Licence Farma</t>
        </is>
      </c>
      <c r="I11" s="11" t="inlineStr">
        <is>
          <t>Upgrade conforme armazenamento, tráfego e transformações</t>
        </is>
      </c>
    </row>
    <row r="12">
      <c r="A12" s="14" t="inlineStr">
        <is>
          <t>E-mail</t>
        </is>
      </c>
      <c r="B12" s="14" t="inlineStr">
        <is>
          <t>Resend</t>
        </is>
      </c>
      <c r="C12" s="14" t="inlineStr">
        <is>
          <t>Free</t>
        </is>
      </c>
      <c r="D12" s="14" t="inlineStr">
        <is>
          <t>Franquia</t>
        </is>
      </c>
      <c r="E12" s="15" t="n">
        <v>0</v>
      </c>
      <c r="F12" s="16" t="n">
        <v>0</v>
      </c>
      <c r="G12" s="14" t="inlineStr">
        <is>
          <t>Condicional</t>
        </is>
      </c>
      <c r="H12" s="14" t="inlineStr">
        <is>
          <t>Licence Farma</t>
        </is>
      </c>
      <c r="I12" s="14" t="inlineStr">
        <is>
          <t>3.000 e-mails/mês e limite de 100/dia</t>
        </is>
      </c>
    </row>
    <row r="13">
      <c r="A13" s="11" t="inlineStr">
        <is>
          <t>E-mail</t>
        </is>
      </c>
      <c r="B13" s="11" t="inlineStr">
        <is>
          <t>Resend</t>
        </is>
      </c>
      <c r="C13" s="11" t="inlineStr">
        <is>
          <t>Pro</t>
        </is>
      </c>
      <c r="D13" s="11" t="inlineStr">
        <is>
          <t>Mensal</t>
        </is>
      </c>
      <c r="E13" s="12" t="n">
        <v>20</v>
      </c>
      <c r="F13" s="13" t="n">
        <v>101.28</v>
      </c>
      <c r="G13" s="11" t="inlineStr">
        <is>
          <t>Opcional</t>
        </is>
      </c>
      <c r="H13" s="11" t="inlineStr">
        <is>
          <t>Licence Farma</t>
        </is>
      </c>
      <c r="I13" s="11" t="inlineStr">
        <is>
          <t>50 mil e-mails mensais</t>
        </is>
      </c>
    </row>
    <row r="14">
      <c r="A14" s="14" t="inlineStr">
        <is>
          <t>OCR</t>
        </is>
      </c>
      <c r="B14" s="14" t="inlineStr">
        <is>
          <t>OCR.space</t>
        </is>
      </c>
      <c r="C14" s="14" t="inlineStr">
        <is>
          <t>Free</t>
        </is>
      </c>
      <c r="D14" s="14" t="inlineStr">
        <is>
          <t>Franquia</t>
        </is>
      </c>
      <c r="E14" s="15" t="n">
        <v>0</v>
      </c>
      <c r="F14" s="16" t="n">
        <v>0</v>
      </c>
      <c r="G14" s="14" t="inlineStr">
        <is>
          <t>Condicional</t>
        </is>
      </c>
      <c r="H14" s="14" t="inlineStr">
        <is>
          <t>Licence Farma</t>
        </is>
      </c>
      <c r="I14" s="14" t="inlineStr">
        <is>
          <t>25 mil solicitações/mês; 500/dia por IP</t>
        </is>
      </c>
    </row>
    <row r="15">
      <c r="A15" s="11" t="inlineStr">
        <is>
          <t>OCR</t>
        </is>
      </c>
      <c r="B15" s="11" t="inlineStr">
        <is>
          <t>OCR.space</t>
        </is>
      </c>
      <c r="C15" s="11" t="inlineStr">
        <is>
          <t>Pro</t>
        </is>
      </c>
      <c r="D15" s="11" t="inlineStr">
        <is>
          <t>Mensal</t>
        </is>
      </c>
      <c r="E15" s="12" t="n">
        <v>30</v>
      </c>
      <c r="F15" s="13" t="n">
        <v>151.91</v>
      </c>
      <c r="G15" s="11" t="inlineStr">
        <is>
          <t>Opcional</t>
        </is>
      </c>
      <c r="H15" s="11" t="inlineStr">
        <is>
          <t>Licence Farma</t>
        </is>
      </c>
      <c r="I15" s="11" t="inlineStr">
        <is>
          <t>300 mil solicitações mensais</t>
        </is>
      </c>
    </row>
    <row r="16">
      <c r="A16" s="14" t="inlineStr">
        <is>
          <t>Mapas</t>
        </is>
      </c>
      <c r="B16" s="14" t="inlineStr">
        <is>
          <t>Google Maps</t>
        </is>
      </c>
      <c r="C16" s="14" t="inlineStr">
        <is>
          <t>APIs</t>
        </is>
      </c>
      <c r="D16" s="14" t="inlineStr">
        <is>
          <t>Por uso</t>
        </is>
      </c>
      <c r="E16" s="15" t="n"/>
      <c r="F16" s="16" t="n"/>
      <c r="G16" s="14" t="inlineStr">
        <is>
          <t>Condicional</t>
        </is>
      </c>
      <c r="H16" s="14" t="inlineStr">
        <is>
          <t>Licence Farma</t>
        </is>
      </c>
      <c r="I16" s="14" t="inlineStr">
        <is>
          <t>Configurar orçamento, alertas e limites</t>
        </is>
      </c>
    </row>
    <row r="17">
      <c r="A17" s="11" t="inlineStr">
        <is>
          <t>Pagamento</t>
        </is>
      </c>
      <c r="B17" s="11" t="inlineStr">
        <is>
          <t>Mercado Pago</t>
        </is>
      </c>
      <c r="C17" s="11" t="inlineStr">
        <is>
          <t>Taxa por transação</t>
        </is>
      </c>
      <c r="D17" s="11" t="inlineStr">
        <is>
          <t>Por venda</t>
        </is>
      </c>
      <c r="E17" s="12" t="n"/>
      <c r="F17" s="13" t="n"/>
      <c r="G17" s="11" t="inlineStr">
        <is>
          <t>Sim, se habilitado</t>
        </is>
      </c>
      <c r="H17" s="11" t="inlineStr">
        <is>
          <t>Loja</t>
        </is>
      </c>
      <c r="I17" s="11" t="inlineStr">
        <is>
          <t>Varia conforme meio de pagamento e prazo de recebimento</t>
        </is>
      </c>
    </row>
    <row r="18">
      <c r="A18" s="14" t="inlineStr">
        <is>
          <t>Marketplace</t>
        </is>
      </c>
      <c r="B18" s="14" t="inlineStr">
        <is>
          <t>Mercado Livre</t>
        </is>
      </c>
      <c r="C18" s="14" t="inlineStr">
        <is>
          <t>Comissão e frete</t>
        </is>
      </c>
      <c r="D18" s="14" t="inlineStr">
        <is>
          <t>Por venda</t>
        </is>
      </c>
      <c r="E18" s="15" t="n"/>
      <c r="F18" s="16" t="n"/>
      <c r="G18" s="14" t="inlineStr">
        <is>
          <t>Não</t>
        </is>
      </c>
      <c r="H18" s="14" t="inlineStr">
        <is>
          <t>Loja</t>
        </is>
      </c>
      <c r="I18" s="14" t="inlineStr">
        <is>
          <t>Varia conforme categoria e tipo de anúncio</t>
        </is>
      </c>
    </row>
    <row r="19">
      <c r="A19" s="11" t="inlineStr">
        <is>
          <t>Domínio</t>
        </is>
      </c>
      <c r="B19" s="11" t="inlineStr">
        <is>
          <t>Registro .com.br</t>
        </is>
      </c>
      <c r="C19" s="11" t="inlineStr">
        <is>
          <t>Renovação</t>
        </is>
      </c>
      <c r="D19" s="11" t="inlineStr">
        <is>
          <t>Anual</t>
        </is>
      </c>
      <c r="E19" s="12" t="n"/>
      <c r="F19" s="13" t="n"/>
      <c r="G19" s="11" t="inlineStr">
        <is>
          <t>Sim</t>
        </is>
      </c>
      <c r="H19" s="11" t="inlineStr">
        <is>
          <t>Licence Farma</t>
        </is>
      </c>
      <c r="I19" s="11" t="inlineStr">
        <is>
          <t>Preencher o valor real da fatura</t>
        </is>
      </c>
    </row>
    <row r="20">
      <c r="A20" s="14" t="inlineStr">
        <is>
          <t>Operação</t>
        </is>
      </c>
      <c r="B20" s="14" t="inlineStr">
        <is>
          <t>Entrega</t>
        </is>
      </c>
      <c r="C20" s="14" t="inlineStr">
        <is>
          <t>Motoboy ou parceiro</t>
        </is>
      </c>
      <c r="D20" s="14" t="inlineStr">
        <is>
          <t>Por entrega ou mensal</t>
        </is>
      </c>
      <c r="E20" s="15" t="n"/>
      <c r="F20" s="16" t="n"/>
      <c r="G20" s="14" t="inlineStr">
        <is>
          <t>Condicional</t>
        </is>
      </c>
      <c r="H20" s="14" t="inlineStr">
        <is>
          <t>Loja</t>
        </is>
      </c>
      <c r="I20" s="14" t="inlineStr">
        <is>
          <t>Definir custo, raio e repasse</t>
        </is>
      </c>
    </row>
    <row r="21">
      <c r="A21" s="11" t="inlineStr">
        <is>
          <t>Operação</t>
        </is>
      </c>
      <c r="B21" s="11" t="inlineStr">
        <is>
          <t>Suporte</t>
        </is>
      </c>
      <c r="C21" s="11" t="inlineStr">
        <is>
          <t>Equipe humana</t>
        </is>
      </c>
      <c r="D21" s="11" t="inlineStr">
        <is>
          <t>Mensal</t>
        </is>
      </c>
      <c r="E21" s="12" t="n"/>
      <c r="F21" s="13" t="n"/>
      <c r="G21" s="11" t="inlineStr">
        <is>
          <t>Sim</t>
        </is>
      </c>
      <c r="H21" s="11" t="inlineStr">
        <is>
          <t>Licence Farma e loja</t>
        </is>
      </c>
      <c r="I21" s="11" t="inlineStr">
        <is>
          <t>Separar atendimento de níveis 1, 2 e 3</t>
        </is>
      </c>
    </row>
    <row r="22">
      <c r="A22" s="14" t="inlineStr">
        <is>
          <t>Marketing</t>
        </is>
      </c>
      <c r="B22" s="14" t="inlineStr">
        <is>
          <t>Mídia e criação</t>
        </is>
      </c>
      <c r="C22" s="14" t="inlineStr">
        <is>
          <t>Campanhas</t>
        </is>
      </c>
      <c r="D22" s="14" t="inlineStr">
        <is>
          <t>Mensal variável</t>
        </is>
      </c>
      <c r="E22" s="15" t="n"/>
      <c r="F22" s="16" t="n"/>
      <c r="G22" s="14" t="inlineStr">
        <is>
          <t>Não</t>
        </is>
      </c>
      <c r="H22" s="14" t="inlineStr">
        <is>
          <t>Licence Farma e loja</t>
        </is>
      </c>
      <c r="I22" s="14" t="inlineStr">
        <is>
          <t>Definir orçamento por região</t>
        </is>
      </c>
    </row>
  </sheetData>
  <autoFilter ref="A4:I22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8" customWidth="1" min="3" max="3"/>
    <col width="16" customWidth="1" min="4" max="4"/>
    <col width="17" customWidth="1" min="5" max="5"/>
    <col width="17" customWidth="1" min="6" max="6"/>
    <col width="16" customWidth="1" min="7" max="7"/>
    <col width="16" customWidth="1" min="8" max="8"/>
  </cols>
  <sheetData>
    <row r="1" ht="34" customHeight="1">
      <c r="A1" s="1" t="inlineStr">
        <is>
          <t>Estimativa de inteligência artificial</t>
        </is>
      </c>
    </row>
    <row r="2" ht="28" customHeight="1">
      <c r="A2" s="2" t="inlineStr">
        <is>
          <t>Edite a quantidade mensal para simular o custo. Valores são estimativas técnicas.</t>
        </is>
      </c>
    </row>
    <row r="4">
      <c r="A4" s="10" t="inlineStr">
        <is>
          <t>Recurso</t>
        </is>
      </c>
      <c r="B4" s="10" t="inlineStr">
        <is>
          <t>Chamadas/mês</t>
        </is>
      </c>
      <c r="C4" s="10" t="inlineStr">
        <is>
          <t>Tokens entrada</t>
        </is>
      </c>
      <c r="D4" s="10" t="inlineStr">
        <is>
          <t>Tokens saída</t>
        </is>
      </c>
      <c r="E4" s="10" t="inlineStr">
        <is>
          <t>US$/M entrada</t>
        </is>
      </c>
      <c r="F4" s="10" t="inlineStr">
        <is>
          <t>US$/M saída</t>
        </is>
      </c>
      <c r="G4" s="10" t="inlineStr">
        <is>
          <t>Custo US$</t>
        </is>
      </c>
      <c r="H4" s="10" t="inlineStr">
        <is>
          <t>Custo R$</t>
        </is>
      </c>
    </row>
    <row r="5">
      <c r="A5" s="11" t="inlineStr">
        <is>
          <t>Busca inteligente</t>
        </is>
      </c>
      <c r="B5" s="11" t="n">
        <v>2000</v>
      </c>
      <c r="C5" s="11" t="n">
        <v>700</v>
      </c>
      <c r="D5" s="11" t="n">
        <v>400</v>
      </c>
      <c r="E5" s="11" t="n">
        <v>1</v>
      </c>
      <c r="F5" s="11" t="n">
        <v>5</v>
      </c>
      <c r="G5" s="12">
        <f>B5*((C5/1000000)*E5+(D5/1000000)*F5)</f>
        <v/>
      </c>
      <c r="H5" s="13">
        <f>G5*Resumo!$B$5</f>
        <v/>
      </c>
    </row>
    <row r="6">
      <c r="A6" s="14" t="inlineStr">
        <is>
          <t>Suporte com IA</t>
        </is>
      </c>
      <c r="B6" s="14" t="n">
        <v>300</v>
      </c>
      <c r="C6" s="14" t="n">
        <v>1000</v>
      </c>
      <c r="D6" s="14" t="n">
        <v>500</v>
      </c>
      <c r="E6" s="14" t="n">
        <v>1</v>
      </c>
      <c r="F6" s="14" t="n">
        <v>5</v>
      </c>
      <c r="G6" s="15">
        <f>B6*((C6/1000000)*E6+(D6/1000000)*F6)</f>
        <v/>
      </c>
      <c r="H6" s="16">
        <f>G6*Resumo!$B$5</f>
        <v/>
      </c>
    </row>
    <row r="7">
      <c r="A7" s="11" t="inlineStr">
        <is>
          <t>Cross-sell</t>
        </is>
      </c>
      <c r="B7" s="11" t="n">
        <v>100</v>
      </c>
      <c r="C7" s="11" t="n">
        <v>2500</v>
      </c>
      <c r="D7" s="11" t="n">
        <v>300</v>
      </c>
      <c r="E7" s="11" t="n">
        <v>1</v>
      </c>
      <c r="F7" s="11" t="n">
        <v>5</v>
      </c>
      <c r="G7" s="12">
        <f>B7*((C7/1000000)*E7+(D7/1000000)*F7)</f>
        <v/>
      </c>
      <c r="H7" s="13">
        <f>G7*Resumo!$B$5</f>
        <v/>
      </c>
    </row>
    <row r="8">
      <c r="A8" s="14" t="inlineStr">
        <is>
          <t>Personalização curta</t>
        </is>
      </c>
      <c r="B8" s="14" t="n">
        <v>500</v>
      </c>
      <c r="C8" s="14" t="n">
        <v>300</v>
      </c>
      <c r="D8" s="14" t="n">
        <v>80</v>
      </c>
      <c r="E8" s="14" t="n">
        <v>1</v>
      </c>
      <c r="F8" s="14" t="n">
        <v>5</v>
      </c>
      <c r="G8" s="15">
        <f>B8*((C8/1000000)*E8+(D8/1000000)*F8)</f>
        <v/>
      </c>
      <c r="H8" s="16">
        <f>G8*Resumo!$B$5</f>
        <v/>
      </c>
    </row>
    <row r="9">
      <c r="A9" s="11" t="inlineStr">
        <is>
          <t>Descrição de produto</t>
        </is>
      </c>
      <c r="B9" s="11" t="n">
        <v>500</v>
      </c>
      <c r="C9" s="11" t="n">
        <v>500</v>
      </c>
      <c r="D9" s="11" t="n">
        <v>320</v>
      </c>
      <c r="E9" s="11" t="n">
        <v>1</v>
      </c>
      <c r="F9" s="11" t="n">
        <v>5</v>
      </c>
      <c r="G9" s="12">
        <f>B9*((C9/1000000)*E9+(D9/1000000)*F9)</f>
        <v/>
      </c>
      <c r="H9" s="13">
        <f>G9*Resumo!$B$5</f>
        <v/>
      </c>
    </row>
    <row r="10">
      <c r="A10" s="14" t="inlineStr">
        <is>
          <t>Visão de receita/embalagem</t>
        </is>
      </c>
      <c r="B10" s="14" t="n">
        <v>50</v>
      </c>
      <c r="C10" s="14" t="n">
        <v>3000</v>
      </c>
      <c r="D10" s="14" t="n">
        <v>200</v>
      </c>
      <c r="E10" s="14" t="n">
        <v>3</v>
      </c>
      <c r="F10" s="14" t="n">
        <v>15</v>
      </c>
      <c r="G10" s="15">
        <f>B10*((C10/1000000)*E10+(D10/1000000)*F10)</f>
        <v/>
      </c>
      <c r="H10" s="16">
        <f>G10*Resumo!$B$5</f>
        <v/>
      </c>
    </row>
    <row r="11">
      <c r="A11" s="11" t="inlineStr">
        <is>
          <t>TOTAL</t>
        </is>
      </c>
      <c r="B11" s="11" t="n"/>
      <c r="C11" s="11" t="n"/>
      <c r="D11" s="11" t="n"/>
      <c r="E11" s="11" t="n"/>
      <c r="F11" s="11" t="n"/>
      <c r="G11" s="11">
        <f>SUM(G5:G10)</f>
        <v/>
      </c>
      <c r="H11" s="11">
        <f>SUM(H5:H10)</f>
        <v/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2026-07-24T19:34:29Z</dcterms:created>
  <dcterms:modified xmlns:dcterms="http://purl.org/dc/terms/" xmlns:xsi="http://www.w3.org/2001/XMLSchema-instance" xsi:type="dcterms:W3CDTF">2026-07-24T19:34:29Z</dcterms:modified>
</cp:coreProperties>
</file>